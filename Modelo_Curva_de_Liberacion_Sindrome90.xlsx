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 de Liberacion" sheetId="1" state="visible" r:id="rId1"/>
    <sheet xmlns:r="http://schemas.openxmlformats.org/officeDocument/2006/relationships" name="Auditoria_Mes_7_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0" fontId="6" fillId="3" borderId="1" pivotButton="0" quotePrefix="0" xfId="0"/>
    <xf numFmtId="0" fontId="5" fillId="0" borderId="1" pivotButton="0" quotePrefix="0" xfId="0"/>
    <xf numFmtId="0" fontId="7" fillId="4" borderId="1" pivotButton="0" quotePrefix="0" xfId="0"/>
    <xf numFmtId="9" fontId="5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Tradicional (P6) vs Curva de Liberación Real (Q6)</a:t>
            </a:r>
          </a:p>
        </rich>
      </tx>
    </title>
    <plotArea>
      <lineChart>
        <grouping val="standard"/>
        <ser>
          <idx val="0"/>
          <order val="0"/>
          <tx>
            <strRef>
              <f>'Curva de Liberacion'!D5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de Liberacion'!$A$6:$A$15</f>
            </numRef>
          </cat>
          <val>
            <numRef>
              <f>'Curva de Liberacion'!$D$6:$D$15</f>
            </numRef>
          </val>
        </ser>
        <ser>
          <idx val="1"/>
          <order val="1"/>
          <tx>
            <strRef>
              <f>'Curva de Liberacion'!E5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de Liberacion'!$A$6:$A$15</f>
            </numRef>
          </cat>
          <val>
            <numRef>
              <f>'Curva de Liberacion'!$E$6:$E$15</f>
            </numRef>
          </val>
        </ser>
        <ser>
          <idx val="2"/>
          <order val="2"/>
          <tx>
            <strRef>
              <f>'Curva de Liberacion'!F5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de Liberacion'!$A$6:$A$15</f>
            </numRef>
          </cat>
          <val>
            <numRef>
              <f>'Curva de Liberacion'!$F$6:$F$15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Línea de Tiempo (Meses)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 de Avance / Terminación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6" customWidth="1" min="4" max="4"/>
    <col width="21" customWidth="1" min="5" max="5"/>
    <col width="18" customWidth="1" min="6" max="6"/>
    <col width="19" customWidth="1" min="7" max="7"/>
    <col width="12" customWidth="1" min="8" max="8"/>
    <col width="12" customWidth="1" min="9" max="9"/>
    <col width="38" customWidth="1" min="10" max="10"/>
  </cols>
  <sheetData>
    <row r="1">
      <c r="A1" s="1" t="inlineStr">
        <is>
          <t>MODELO DE CONTROL DE PROYECTO: CURVA DE LIBERACIÓN vs AVANCE TRADICIONAL</t>
        </is>
      </c>
    </row>
    <row r="2">
      <c r="A2" s="2" t="inlineStr">
        <is>
          <t>Basado en la metodología de Omar A. Samaniego (IGLC 2025) - Detección del Síndrome del 90%</t>
        </is>
      </c>
    </row>
    <row r="3">
      <c r="A3" s="3" t="inlineStr">
        <is>
          <t>Caso: Sistema Integrado de Matrícula y Gestión Académica (Alcance total K = 20 módulos)</t>
        </is>
      </c>
    </row>
    <row r="4"/>
    <row r="5">
      <c r="A5" s="4" t="inlineStr">
        <is>
          <t>Mes (t)</t>
        </is>
      </c>
      <c r="B5" s="4" t="inlineStr">
        <is>
          <t>No Iniciado (NS)</t>
        </is>
      </c>
      <c r="C5" s="4" t="inlineStr">
        <is>
          <t>En Proceso (WIP)</t>
        </is>
      </c>
      <c r="D5" s="4" t="inlineStr">
        <is>
          <t>Liberado (Q6)</t>
        </is>
      </c>
      <c r="E5" s="4" t="inlineStr">
        <is>
          <t>Avance Físico (P6)</t>
        </is>
      </c>
      <c r="F5" s="4" t="inlineStr">
        <is>
          <t>Techo Máx (Q6')</t>
        </is>
      </c>
      <c r="G5" s="4" t="inlineStr">
        <is>
          <t>Brecha (P6 - Q6)</t>
        </is>
      </c>
      <c r="H5" s="4" t="inlineStr">
        <is>
          <t>Tasa RWIP</t>
        </is>
      </c>
      <c r="I5" s="4" t="inlineStr">
        <is>
          <t>Tasa RCC</t>
        </is>
      </c>
      <c r="J5" s="4" t="inlineStr">
        <is>
          <t>Estado / Diagnóstico Auditoría</t>
        </is>
      </c>
    </row>
    <row r="6">
      <c r="A6" s="5" t="inlineStr">
        <is>
          <t>Mes 1</t>
        </is>
      </c>
      <c r="B6" s="6" t="n">
        <v>0.8</v>
      </c>
      <c r="C6" s="6" t="n">
        <v>0.2</v>
      </c>
      <c r="D6" s="6" t="n">
        <v>0</v>
      </c>
      <c r="E6" s="6" t="n">
        <v>0.08</v>
      </c>
      <c r="F6" s="6">
        <f>D6+C6</f>
        <v/>
      </c>
      <c r="G6" s="6">
        <f>E6-D6</f>
        <v/>
      </c>
      <c r="H6" s="7" t="n">
        <v>0</v>
      </c>
      <c r="I6" s="7">
        <f>B6</f>
        <v/>
      </c>
      <c r="J6" s="8" t="inlineStr">
        <is>
          <t>Arranque normal</t>
        </is>
      </c>
    </row>
    <row r="7">
      <c r="A7" s="5" t="inlineStr">
        <is>
          <t>Mes 2</t>
        </is>
      </c>
      <c r="B7" s="6" t="n">
        <v>0.6</v>
      </c>
      <c r="C7" s="6" t="n">
        <v>0.3</v>
      </c>
      <c r="D7" s="6" t="n">
        <v>0.1</v>
      </c>
      <c r="E7" s="6" t="n">
        <v>0.22</v>
      </c>
      <c r="F7" s="6">
        <f>D7+C7</f>
        <v/>
      </c>
      <c r="G7" s="6">
        <f>E7-D7</f>
        <v/>
      </c>
      <c r="H7" s="7">
        <f>C7/C6</f>
        <v/>
      </c>
      <c r="I7" s="7">
        <f>H7+B7</f>
        <v/>
      </c>
      <c r="J7" s="8" t="inlineStr">
        <is>
          <t>Flujo continuo</t>
        </is>
      </c>
    </row>
    <row r="8">
      <c r="A8" s="5" t="inlineStr">
        <is>
          <t>Mes 3</t>
        </is>
      </c>
      <c r="B8" s="6" t="n">
        <v>0.4</v>
      </c>
      <c r="C8" s="6" t="n">
        <v>0.4</v>
      </c>
      <c r="D8" s="6" t="n">
        <v>0.2</v>
      </c>
      <c r="E8" s="6" t="n">
        <v>0.38</v>
      </c>
      <c r="F8" s="6">
        <f>D8+C8</f>
        <v/>
      </c>
      <c r="G8" s="6">
        <f>E8-D8</f>
        <v/>
      </c>
      <c r="H8" s="7">
        <f>C8/C7</f>
        <v/>
      </c>
      <c r="I8" s="7">
        <f>H8+B8</f>
        <v/>
      </c>
      <c r="J8" s="9" t="inlineStr">
        <is>
          <t>Incremento de frentes</t>
        </is>
      </c>
    </row>
    <row r="9">
      <c r="A9" s="5" t="inlineStr">
        <is>
          <t>Mes 4</t>
        </is>
      </c>
      <c r="B9" s="6" t="n">
        <v>0.25</v>
      </c>
      <c r="C9" s="6" t="n">
        <v>0.45</v>
      </c>
      <c r="D9" s="6" t="n">
        <v>0.3</v>
      </c>
      <c r="E9" s="6" t="n">
        <v>0.52</v>
      </c>
      <c r="F9" s="6">
        <f>D9+C9</f>
        <v/>
      </c>
      <c r="G9" s="6">
        <f>E9-D9</f>
        <v/>
      </c>
      <c r="H9" s="7">
        <f>C9/C8</f>
        <v/>
      </c>
      <c r="I9" s="7">
        <f>H9+B9</f>
        <v/>
      </c>
      <c r="J9" s="9" t="inlineStr">
        <is>
          <t>Alerta: WIP acumulándose</t>
        </is>
      </c>
    </row>
    <row r="10">
      <c r="A10" s="5" t="inlineStr">
        <is>
          <t>Mes 5</t>
        </is>
      </c>
      <c r="B10" s="6" t="n">
        <v>0.15</v>
      </c>
      <c r="C10" s="6" t="n">
        <v>0.5</v>
      </c>
      <c r="D10" s="6" t="n">
        <v>0.35</v>
      </c>
      <c r="E10" s="6" t="n">
        <v>0.65</v>
      </c>
      <c r="F10" s="6">
        <f>D10+C10</f>
        <v/>
      </c>
      <c r="G10" s="6">
        <f>E10-D10</f>
        <v/>
      </c>
      <c r="H10" s="7">
        <f>C10/C9</f>
        <v/>
      </c>
      <c r="I10" s="7">
        <f>H10+B10</f>
        <v/>
      </c>
      <c r="J10" s="9" t="inlineStr">
        <is>
          <t>Brecha peligrosa en aumento</t>
        </is>
      </c>
    </row>
    <row r="11">
      <c r="A11" s="5" t="inlineStr">
        <is>
          <t>Mes 6</t>
        </is>
      </c>
      <c r="B11" s="6" t="n">
        <v>0.05</v>
      </c>
      <c r="C11" s="6" t="n">
        <v>0.5</v>
      </c>
      <c r="D11" s="6" t="n">
        <v>0.45</v>
      </c>
      <c r="E11" s="6" t="n">
        <v>0.78</v>
      </c>
      <c r="F11" s="6">
        <f>D11+C11</f>
        <v/>
      </c>
      <c r="G11" s="6">
        <f>E11-D11</f>
        <v/>
      </c>
      <c r="H11" s="7">
        <f>C11/C10</f>
        <v/>
      </c>
      <c r="I11" s="7">
        <f>H11+B11</f>
        <v/>
      </c>
      <c r="J11" s="9" t="inlineStr">
        <is>
          <t>Alto riesgo: mucho trabajo a medias</t>
        </is>
      </c>
    </row>
    <row r="12">
      <c r="A12" s="5" t="inlineStr">
        <is>
          <t>Mes 7</t>
        </is>
      </c>
      <c r="B12" s="6" t="n">
        <v>0</v>
      </c>
      <c r="C12" s="6" t="n">
        <v>0.55</v>
      </c>
      <c r="D12" s="6" t="n">
        <v>0.45</v>
      </c>
      <c r="E12" s="6" t="n">
        <v>0.88</v>
      </c>
      <c r="F12" s="6">
        <f>D12+C12</f>
        <v/>
      </c>
      <c r="G12" s="6">
        <f>E12-D12</f>
        <v/>
      </c>
      <c r="H12" s="7">
        <f>C12/C11</f>
        <v/>
      </c>
      <c r="I12" s="7">
        <f>H12+B12</f>
        <v/>
      </c>
      <c r="J12" s="10" t="inlineStr">
        <is>
          <t>¡SÍNDROME DEL 90%! Meseta en Q6</t>
        </is>
      </c>
    </row>
    <row r="13">
      <c r="A13" s="5" t="inlineStr">
        <is>
          <t>Mes 8</t>
        </is>
      </c>
      <c r="B13" s="6" t="n">
        <v>0</v>
      </c>
      <c r="C13" s="6" t="n">
        <v>0.5</v>
      </c>
      <c r="D13" s="6" t="n">
        <v>0.5</v>
      </c>
      <c r="E13" s="6" t="n">
        <v>0.91</v>
      </c>
      <c r="F13" s="6">
        <f>D13+C13</f>
        <v/>
      </c>
      <c r="G13" s="6">
        <f>E13-D13</f>
        <v/>
      </c>
      <c r="H13" s="7">
        <f>C13/C12</f>
        <v/>
      </c>
      <c r="I13" s="7">
        <f>H13+B13</f>
        <v/>
      </c>
      <c r="J13" s="9" t="inlineStr">
        <is>
          <t>Estancamiento: retrabajos por bugs</t>
        </is>
      </c>
    </row>
    <row r="14">
      <c r="A14" s="5" t="inlineStr">
        <is>
          <t>Mes 9</t>
        </is>
      </c>
      <c r="B14" s="6" t="n">
        <v>0</v>
      </c>
      <c r="C14" s="6" t="n">
        <v>0.4</v>
      </c>
      <c r="D14" s="6" t="n">
        <v>0.6</v>
      </c>
      <c r="E14" s="6" t="n">
        <v>0.93</v>
      </c>
      <c r="F14" s="6">
        <f>D14+C14</f>
        <v/>
      </c>
      <c r="G14" s="6">
        <f>E14-D14</f>
        <v/>
      </c>
      <c r="H14" s="7">
        <f>C14/C13</f>
        <v/>
      </c>
      <c r="I14" s="7">
        <f>H14+B14</f>
        <v/>
      </c>
      <c r="J14" s="10" t="inlineStr">
        <is>
          <t>Retraso crítico: fecha vencida</t>
        </is>
      </c>
    </row>
    <row r="15">
      <c r="A15" s="5" t="inlineStr">
        <is>
          <t>Mes 10</t>
        </is>
      </c>
      <c r="B15" s="6" t="n">
        <v>0</v>
      </c>
      <c r="C15" s="6" t="n">
        <v>0.3</v>
      </c>
      <c r="D15" s="6" t="n">
        <v>0.7</v>
      </c>
      <c r="E15" s="6" t="n">
        <v>0.95</v>
      </c>
      <c r="F15" s="6">
        <f>D15+C15</f>
        <v/>
      </c>
      <c r="G15" s="6">
        <f>E15-D15</f>
        <v/>
      </c>
      <c r="H15" s="7">
        <f>C15/C14</f>
        <v/>
      </c>
      <c r="I15" s="7">
        <f>H15+B15</f>
        <v/>
      </c>
      <c r="J15" s="10" t="inlineStr">
        <is>
          <t>Proyecto colapsado al 95%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2" customWidth="1" min="2" max="2"/>
    <col width="31" customWidth="1" min="3" max="3"/>
    <col width="20" customWidth="1" min="4" max="4"/>
    <col width="22" customWidth="1" min="5" max="5"/>
    <col width="22" customWidth="1" min="6" max="6"/>
    <col width="28" customWidth="1" min="7" max="7"/>
    <col width="19" customWidth="1" min="8" max="8"/>
    <col width="40" customWidth="1" min="9" max="9"/>
  </cols>
  <sheetData>
    <row r="1">
      <c r="A1" s="1" t="inlineStr">
        <is>
          <t>AUDITORÍA FORENSE AL MES 7 (EL ORIGEN DEL ENGAÑO)</t>
        </is>
      </c>
    </row>
    <row r="2">
      <c r="A2" s="2" t="inlineStr">
        <is>
          <t>El informe oficial dice P6 = 88% de avance. La auditoría revela la verdad:</t>
        </is>
      </c>
    </row>
    <row r="3"/>
    <row r="4">
      <c r="A4" s="4" t="inlineStr">
        <is>
          <t>ID</t>
        </is>
      </c>
      <c r="B4" s="4" t="inlineStr">
        <is>
          <t>Módulo / Entregable</t>
        </is>
      </c>
      <c r="C4" s="4" t="inlineStr">
        <is>
          <t>Avance Tradic. Reportado (f)</t>
        </is>
      </c>
      <c r="D4" s="4" t="inlineStr">
        <is>
          <t>Pruebas Unitarias</t>
        </is>
      </c>
      <c r="E4" s="4" t="inlineStr">
        <is>
          <t>Pruebas Integración</t>
        </is>
      </c>
      <c r="F4" s="4" t="inlineStr">
        <is>
          <t>Seguridad / Pentest</t>
        </is>
      </c>
      <c r="G4" s="4" t="inlineStr">
        <is>
          <t>Aprobación Formal Cliente</t>
        </is>
      </c>
      <c r="H4" s="4" t="inlineStr">
        <is>
          <t>Estado Samaniego</t>
        </is>
      </c>
      <c r="I4" s="4" t="inlineStr">
        <is>
          <t>Diagnóstico Auditor</t>
        </is>
      </c>
    </row>
    <row r="5">
      <c r="A5" s="5" t="inlineStr">
        <is>
          <t>MOD-01</t>
        </is>
      </c>
      <c r="B5" s="9" t="inlineStr">
        <is>
          <t>Autenticación y Roles</t>
        </is>
      </c>
      <c r="C5" s="11" t="n">
        <v>1</v>
      </c>
      <c r="D5" s="5" t="inlineStr">
        <is>
          <t>OK</t>
        </is>
      </c>
      <c r="E5" s="5" t="inlineStr">
        <is>
          <t>OK</t>
        </is>
      </c>
      <c r="F5" s="5" t="inlineStr">
        <is>
          <t>OK</t>
        </is>
      </c>
      <c r="G5" s="5" t="inlineStr">
        <is>
          <t>FIRMADO</t>
        </is>
      </c>
      <c r="H5" s="12" t="inlineStr">
        <is>
          <t>Q6 (Liberado)</t>
        </is>
      </c>
      <c r="I5" s="9" t="inlineStr">
        <is>
          <t>Listo y operativo</t>
        </is>
      </c>
    </row>
    <row r="6">
      <c r="A6" s="5" t="inlineStr">
        <is>
          <t>MOD-02</t>
        </is>
      </c>
      <c r="B6" s="9" t="inlineStr">
        <is>
          <t>Gestión de Estudiantes</t>
        </is>
      </c>
      <c r="C6" s="11" t="n">
        <v>1</v>
      </c>
      <c r="D6" s="5" t="inlineStr">
        <is>
          <t>OK</t>
        </is>
      </c>
      <c r="E6" s="5" t="inlineStr">
        <is>
          <t>OK</t>
        </is>
      </c>
      <c r="F6" s="5" t="inlineStr">
        <is>
          <t>OK</t>
        </is>
      </c>
      <c r="G6" s="5" t="inlineStr">
        <is>
          <t>FIRMADO</t>
        </is>
      </c>
      <c r="H6" s="12" t="inlineStr">
        <is>
          <t>Q6 (Liberado)</t>
        </is>
      </c>
      <c r="I6" s="9" t="inlineStr">
        <is>
          <t>Listo y operativo</t>
        </is>
      </c>
    </row>
    <row r="7">
      <c r="A7" s="5" t="inlineStr">
        <is>
          <t>MOD-03</t>
        </is>
      </c>
      <c r="B7" s="9" t="inlineStr">
        <is>
          <t>Gestión de Docentes</t>
        </is>
      </c>
      <c r="C7" s="11" t="n">
        <v>1</v>
      </c>
      <c r="D7" s="5" t="inlineStr">
        <is>
          <t>OK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FIRMADO</t>
        </is>
      </c>
      <c r="H7" s="12" t="inlineStr">
        <is>
          <t>Q6 (Liberado)</t>
        </is>
      </c>
      <c r="I7" s="9" t="inlineStr">
        <is>
          <t>Listo y operativo</t>
        </is>
      </c>
    </row>
    <row r="8">
      <c r="A8" s="5" t="inlineStr">
        <is>
          <t>MOD-04</t>
        </is>
      </c>
      <c r="B8" s="9" t="inlineStr">
        <is>
          <t>Plan de Estudios / Malla</t>
        </is>
      </c>
      <c r="C8" s="11" t="n">
        <v>1</v>
      </c>
      <c r="D8" s="5" t="inlineStr">
        <is>
          <t>OK</t>
        </is>
      </c>
      <c r="E8" s="5" t="inlineStr">
        <is>
          <t>OK</t>
        </is>
      </c>
      <c r="F8" s="5" t="inlineStr">
        <is>
          <t>OK</t>
        </is>
      </c>
      <c r="G8" s="5" t="inlineStr">
        <is>
          <t>FIRMADO</t>
        </is>
      </c>
      <c r="H8" s="12" t="inlineStr">
        <is>
          <t>Q6 (Liberado)</t>
        </is>
      </c>
      <c r="I8" s="9" t="inlineStr">
        <is>
          <t>Listo y operativo</t>
        </is>
      </c>
    </row>
    <row r="9">
      <c r="A9" s="5" t="inlineStr">
        <is>
          <t>MOD-05</t>
        </is>
      </c>
      <c r="B9" s="9" t="inlineStr">
        <is>
          <t>Horarios y Aulas</t>
        </is>
      </c>
      <c r="C9" s="11" t="n">
        <v>1</v>
      </c>
      <c r="D9" s="5" t="inlineStr">
        <is>
          <t>OK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FIRMADO</t>
        </is>
      </c>
      <c r="H9" s="12" t="inlineStr">
        <is>
          <t>Q6 (Liberado)</t>
        </is>
      </c>
      <c r="I9" s="9" t="inlineStr">
        <is>
          <t>Listo y operativo</t>
        </is>
      </c>
    </row>
    <row r="10">
      <c r="A10" s="5" t="inlineStr">
        <is>
          <t>MOD-06</t>
        </is>
      </c>
      <c r="B10" s="9" t="inlineStr">
        <is>
          <t>Prematrícula Online</t>
        </is>
      </c>
      <c r="C10" s="11" t="n">
        <v>1</v>
      </c>
      <c r="D10" s="5" t="inlineStr">
        <is>
          <t>OK</t>
        </is>
      </c>
      <c r="E10" s="5" t="inlineStr">
        <is>
          <t>OK</t>
        </is>
      </c>
      <c r="F10" s="5" t="inlineStr">
        <is>
          <t>OK</t>
        </is>
      </c>
      <c r="G10" s="5" t="inlineStr">
        <is>
          <t>FIRMADO</t>
        </is>
      </c>
      <c r="H10" s="12" t="inlineStr">
        <is>
          <t>Q6 (Liberado)</t>
        </is>
      </c>
      <c r="I10" s="9" t="inlineStr">
        <is>
          <t>Listo y operativo</t>
        </is>
      </c>
    </row>
    <row r="11">
      <c r="A11" s="5" t="inlineStr">
        <is>
          <t>MOD-07</t>
        </is>
      </c>
      <c r="B11" s="9" t="inlineStr">
        <is>
          <t>Caja y Tarifario</t>
        </is>
      </c>
      <c r="C11" s="11" t="n">
        <v>1</v>
      </c>
      <c r="D11" s="5" t="inlineStr">
        <is>
          <t>OK</t>
        </is>
      </c>
      <c r="E11" s="5" t="inlineStr">
        <is>
          <t>OK</t>
        </is>
      </c>
      <c r="F11" s="5" t="inlineStr">
        <is>
          <t>OK</t>
        </is>
      </c>
      <c r="G11" s="5" t="inlineStr">
        <is>
          <t>FIRMADO</t>
        </is>
      </c>
      <c r="H11" s="12" t="inlineStr">
        <is>
          <t>Q6 (Liberado)</t>
        </is>
      </c>
      <c r="I11" s="9" t="inlineStr">
        <is>
          <t>Listo y operativo</t>
        </is>
      </c>
    </row>
    <row r="12">
      <c r="A12" s="5" t="inlineStr">
        <is>
          <t>MOD-08</t>
        </is>
      </c>
      <c r="B12" s="9" t="inlineStr">
        <is>
          <t>Emisión de Boletas/Facturas</t>
        </is>
      </c>
      <c r="C12" s="11" t="n">
        <v>1</v>
      </c>
      <c r="D12" s="5" t="inlineStr">
        <is>
          <t>OK</t>
        </is>
      </c>
      <c r="E12" s="5" t="inlineStr">
        <is>
          <t>OK</t>
        </is>
      </c>
      <c r="F12" s="5" t="inlineStr">
        <is>
          <t>OK</t>
        </is>
      </c>
      <c r="G12" s="5" t="inlineStr">
        <is>
          <t>FIRMADO</t>
        </is>
      </c>
      <c r="H12" s="12" t="inlineStr">
        <is>
          <t>Q6 (Liberado)</t>
        </is>
      </c>
      <c r="I12" s="9" t="inlineStr">
        <is>
          <t>Listo y operativo</t>
        </is>
      </c>
    </row>
    <row r="13">
      <c r="A13" s="5" t="inlineStr">
        <is>
          <t>MOD-09</t>
        </is>
      </c>
      <c r="B13" s="9" t="inlineStr">
        <is>
          <t>Portal del Alumno Web</t>
        </is>
      </c>
      <c r="C13" s="11" t="n">
        <v>1</v>
      </c>
      <c r="D13" s="5" t="inlineStr">
        <is>
          <t>OK</t>
        </is>
      </c>
      <c r="E13" s="5" t="inlineStr">
        <is>
          <t>OK</t>
        </is>
      </c>
      <c r="F13" s="5" t="inlineStr">
        <is>
          <t>OK</t>
        </is>
      </c>
      <c r="G13" s="5" t="inlineStr">
        <is>
          <t>FIRMADO</t>
        </is>
      </c>
      <c r="H13" s="12" t="inlineStr">
        <is>
          <t>Q6 (Liberado)</t>
        </is>
      </c>
      <c r="I13" s="9" t="inlineStr">
        <is>
          <t>Listo y operativo</t>
        </is>
      </c>
    </row>
    <row r="14">
      <c r="A14" s="5" t="inlineStr">
        <is>
          <t>MOD-10</t>
        </is>
      </c>
      <c r="B14" s="9" t="inlineStr">
        <is>
          <t>Matrícula Regular Concurrente</t>
        </is>
      </c>
      <c r="C14" s="11" t="n">
        <v>0.9</v>
      </c>
      <c r="D14" s="5" t="inlineStr">
        <is>
          <t>OK</t>
        </is>
      </c>
      <c r="E14" s="5" t="inlineStr">
        <is>
          <t>FALLA</t>
        </is>
      </c>
      <c r="F14" s="5" t="inlineStr">
        <is>
          <t>PENDIENTE</t>
        </is>
      </c>
      <c r="G14" s="5" t="inlineStr">
        <is>
          <t>RECHAZADO</t>
        </is>
      </c>
      <c r="H14" s="13" t="inlineStr">
        <is>
          <t>WIP (En proceso)</t>
        </is>
      </c>
      <c r="I14" s="9" t="inlineStr">
        <is>
          <t>Cae con &gt;500 usuarios. No liberable</t>
        </is>
      </c>
    </row>
    <row r="15">
      <c r="A15" s="5" t="inlineStr">
        <is>
          <t>MOD-11</t>
        </is>
      </c>
      <c r="B15" s="9" t="inlineStr">
        <is>
          <t>Pasarela Pagos Tarjeta (API)</t>
        </is>
      </c>
      <c r="C15" s="11" t="n">
        <v>0.85</v>
      </c>
      <c r="D15" s="5" t="inlineStr">
        <is>
          <t>OK</t>
        </is>
      </c>
      <c r="E15" s="5" t="inlineStr">
        <is>
          <t>FALLA</t>
        </is>
      </c>
      <c r="F15" s="5" t="inlineStr">
        <is>
          <t>VULNERABLE</t>
        </is>
      </c>
      <c r="G15" s="5" t="inlineStr">
        <is>
          <t>RECHAZADO</t>
        </is>
      </c>
      <c r="H15" s="13" t="inlineStr">
        <is>
          <t>WIP (En proceso)</t>
        </is>
      </c>
      <c r="I15" s="9" t="inlineStr">
        <is>
          <t>Webhook inseguro. Riesgo crítico</t>
        </is>
      </c>
    </row>
    <row r="16">
      <c r="A16" s="5" t="inlineStr">
        <is>
          <t>MOD-12</t>
        </is>
      </c>
      <c r="B16" s="9" t="inlineStr">
        <is>
          <t>Integración Bancaria (Batch)</t>
        </is>
      </c>
      <c r="C16" s="11" t="n">
        <v>0.8</v>
      </c>
      <c r="D16" s="5" t="inlineStr">
        <is>
          <t>OK</t>
        </is>
      </c>
      <c r="E16" s="5" t="inlineStr">
        <is>
          <t>PENDIENTE</t>
        </is>
      </c>
      <c r="F16" s="5" t="inlineStr">
        <is>
          <t>PENDIENTE</t>
        </is>
      </c>
      <c r="G16" s="5" t="inlineStr">
        <is>
          <t>RECHAZADO</t>
        </is>
      </c>
      <c r="H16" s="13" t="inlineStr">
        <is>
          <t>WIP (En proceso)</t>
        </is>
      </c>
      <c r="I16" s="9" t="inlineStr">
        <is>
          <t>Falta conexión SFTP con el banco</t>
        </is>
      </c>
    </row>
    <row r="17">
      <c r="A17" s="5" t="inlineStr">
        <is>
          <t>MOD-13</t>
        </is>
      </c>
      <c r="B17" s="9" t="inlineStr">
        <is>
          <t>Módulo de Becas y Descuentos</t>
        </is>
      </c>
      <c r="C17" s="11" t="n">
        <v>0.85</v>
      </c>
      <c r="D17" s="5" t="inlineStr">
        <is>
          <t>OK</t>
        </is>
      </c>
      <c r="E17" s="5" t="inlineStr">
        <is>
          <t>FALLA</t>
        </is>
      </c>
      <c r="F17" s="5" t="inlineStr">
        <is>
          <t>PENDIENTE</t>
        </is>
      </c>
      <c r="G17" s="5" t="inlineStr">
        <is>
          <t>RECHAZADO</t>
        </is>
      </c>
      <c r="H17" s="13" t="inlineStr">
        <is>
          <t>WIP (En proceso)</t>
        </is>
      </c>
      <c r="I17" s="9" t="inlineStr">
        <is>
          <t>Bug en cálculo de porcentaje</t>
        </is>
      </c>
    </row>
    <row r="18">
      <c r="A18" s="5" t="inlineStr">
        <is>
          <t>MOD-14</t>
        </is>
      </c>
      <c r="B18" s="9" t="inlineStr">
        <is>
          <t>Actas de Notas y Cierre</t>
        </is>
      </c>
      <c r="C18" s="11" t="n">
        <v>0.75</v>
      </c>
      <c r="D18" s="5" t="inlineStr">
        <is>
          <t>OK</t>
        </is>
      </c>
      <c r="E18" s="5" t="inlineStr">
        <is>
          <t>FALLA</t>
        </is>
      </c>
      <c r="F18" s="5" t="inlineStr">
        <is>
          <t>PENDIENTE</t>
        </is>
      </c>
      <c r="G18" s="5" t="inlineStr">
        <is>
          <t>RECHAZADO</t>
        </is>
      </c>
      <c r="H18" s="13" t="inlineStr">
        <is>
          <t>WIP (En proceso)</t>
        </is>
      </c>
      <c r="I18" s="9" t="inlineStr">
        <is>
          <t>Error de redondeo de promedios</t>
        </is>
      </c>
    </row>
    <row r="19">
      <c r="A19" s="5" t="inlineStr">
        <is>
          <t>MOD-15</t>
        </is>
      </c>
      <c r="B19" s="9" t="inlineStr">
        <is>
          <t>Historial Académico / Kardex</t>
        </is>
      </c>
      <c r="C19" s="11" t="n">
        <v>0.8</v>
      </c>
      <c r="D19" s="5" t="inlineStr">
        <is>
          <t>OK</t>
        </is>
      </c>
      <c r="E19" s="5" t="inlineStr">
        <is>
          <t>FALLA</t>
        </is>
      </c>
      <c r="F19" s="5" t="inlineStr">
        <is>
          <t>PENDIENTE</t>
        </is>
      </c>
      <c r="G19" s="5" t="inlineStr">
        <is>
          <t>RECHAZADO</t>
        </is>
      </c>
      <c r="H19" s="13" t="inlineStr">
        <is>
          <t>WIP (En proceso)</t>
        </is>
      </c>
      <c r="I19" s="9" t="inlineStr">
        <is>
          <t>Query lenta: bloquea base de datos</t>
        </is>
      </c>
    </row>
    <row r="20">
      <c r="A20" s="5" t="inlineStr">
        <is>
          <t>MOD-16</t>
        </is>
      </c>
      <c r="B20" s="9" t="inlineStr">
        <is>
          <t>Convalidaciones y Traslados</t>
        </is>
      </c>
      <c r="C20" s="11" t="n">
        <v>0.7</v>
      </c>
      <c r="D20" s="5" t="inlineStr">
        <is>
          <t>OK</t>
        </is>
      </c>
      <c r="E20" s="5" t="inlineStr">
        <is>
          <t>PENDIENTE</t>
        </is>
      </c>
      <c r="F20" s="5" t="inlineStr">
        <is>
          <t>PENDIENTE</t>
        </is>
      </c>
      <c r="G20" s="5" t="inlineStr">
        <is>
          <t>RECHAZADO</t>
        </is>
      </c>
      <c r="H20" s="13" t="inlineStr">
        <is>
          <t>WIP (En proceso)</t>
        </is>
      </c>
      <c r="I20" s="9" t="inlineStr">
        <is>
          <t>Faltan formularios de equivalencia</t>
        </is>
      </c>
    </row>
    <row r="21">
      <c r="A21" s="5" t="inlineStr">
        <is>
          <t>MOD-17</t>
        </is>
      </c>
      <c r="B21" s="9" t="inlineStr">
        <is>
          <t>App Móvil Estudiante (iOS)</t>
        </is>
      </c>
      <c r="C21" s="11" t="n">
        <v>0.75</v>
      </c>
      <c r="D21" s="5" t="inlineStr">
        <is>
          <t>FALLA</t>
        </is>
      </c>
      <c r="E21" s="5" t="inlineStr">
        <is>
          <t>PENDIENTE</t>
        </is>
      </c>
      <c r="F21" s="5" t="inlineStr">
        <is>
          <t>PENDIENTE</t>
        </is>
      </c>
      <c r="G21" s="5" t="inlineStr">
        <is>
          <t>RECHAZADO</t>
        </is>
      </c>
      <c r="H21" s="13" t="inlineStr">
        <is>
          <t>WIP (En proceso)</t>
        </is>
      </c>
      <c r="I21" s="9" t="inlineStr">
        <is>
          <t>Crash en iOS 18</t>
        </is>
      </c>
    </row>
    <row r="22">
      <c r="A22" s="5" t="inlineStr">
        <is>
          <t>MOD-18</t>
        </is>
      </c>
      <c r="B22" s="9" t="inlineStr">
        <is>
          <t>App Móvil Estudiante (Android)</t>
        </is>
      </c>
      <c r="C22" s="11" t="n">
        <v>0.8</v>
      </c>
      <c r="D22" s="5" t="inlineStr">
        <is>
          <t>OK</t>
        </is>
      </c>
      <c r="E22" s="5" t="inlineStr">
        <is>
          <t>PENDIENTE</t>
        </is>
      </c>
      <c r="F22" s="5" t="inlineStr">
        <is>
          <t>PENDIENTE</t>
        </is>
      </c>
      <c r="G22" s="5" t="inlineStr">
        <is>
          <t>RECHAZADO</t>
        </is>
      </c>
      <c r="H22" s="13" t="inlineStr">
        <is>
          <t>WIP (En proceso)</t>
        </is>
      </c>
      <c r="I22" s="9" t="inlineStr">
        <is>
          <t>Notificaciones push no llegan</t>
        </is>
      </c>
    </row>
    <row r="23">
      <c r="A23" s="5" t="inlineStr">
        <is>
          <t>MOD-19</t>
        </is>
      </c>
      <c r="B23" s="9" t="inlineStr">
        <is>
          <t>Reportes SUNEDU / Rectorado</t>
        </is>
      </c>
      <c r="C23" s="11" t="n">
        <v>0.7</v>
      </c>
      <c r="D23" s="5" t="inlineStr">
        <is>
          <t>FALLA</t>
        </is>
      </c>
      <c r="E23" s="5" t="inlineStr">
        <is>
          <t>FALLA</t>
        </is>
      </c>
      <c r="F23" s="5" t="inlineStr">
        <is>
          <t>PENDIENTE</t>
        </is>
      </c>
      <c r="G23" s="5" t="inlineStr">
        <is>
          <t>RECHAZADO</t>
        </is>
      </c>
      <c r="H23" s="13" t="inlineStr">
        <is>
          <t>WIP (En proceso)</t>
        </is>
      </c>
      <c r="I23" s="9" t="inlineStr">
        <is>
          <t>Datos descuadrados con contabilidad</t>
        </is>
      </c>
    </row>
    <row r="24">
      <c r="A24" s="5" t="inlineStr">
        <is>
          <t>MOD-20</t>
        </is>
      </c>
      <c r="B24" s="9" t="inlineStr">
        <is>
          <t>Auditoría de Trazabilidad / Logs</t>
        </is>
      </c>
      <c r="C24" s="11" t="n">
        <v>0.65</v>
      </c>
      <c r="D24" s="5" t="inlineStr">
        <is>
          <t>OK</t>
        </is>
      </c>
      <c r="E24" s="5" t="inlineStr">
        <is>
          <t>PENDIENTE</t>
        </is>
      </c>
      <c r="F24" s="5" t="inlineStr">
        <is>
          <t>PENDIENTE</t>
        </is>
      </c>
      <c r="G24" s="5" t="inlineStr">
        <is>
          <t>RECHAZADO</t>
        </is>
      </c>
      <c r="H24" s="13" t="inlineStr">
        <is>
          <t>WIP (En proceso)</t>
        </is>
      </c>
      <c r="I24" s="9" t="inlineStr">
        <is>
          <t>Logs no son inmutables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2026-10-13T20:15:18Z</dcterms:created>
  <dcterms:modified xmlns:dcterms="http://purl.org/dc/terms/" xmlns:xsi="http://www.w3.org/2001/XMLSchema-instance" xsi:type="dcterms:W3CDTF">2026-10-13T20:15:18Z</dcterms:modified>
</cp:coreProperties>
</file>